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635"/>
  </bookViews>
  <sheets>
    <sheet name="29_table_names" sheetId="1" r:id="rId1"/>
  </sheets>
  <definedNames>
    <definedName name="_xlnm._FilterDatabase" localSheetId="0" hidden="1">'29_table_names'!$A$1:$G$30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<sst xmlns="http://schemas.openxmlformats.org/spreadsheetml/2006/main" count="109" uniqueCount="52">
  <si>
    <t>Tables_in_fitbit_fitness_tracker_data</t>
  </si>
  <si>
    <t>set</t>
  </si>
  <si>
    <t>wide/narrow</t>
  </si>
  <si>
    <t>variable</t>
  </si>
  <si>
    <t>timeframe</t>
  </si>
  <si>
    <t>variable2</t>
  </si>
  <si>
    <t>merging_qualified?</t>
  </si>
  <si>
    <t>merge?</t>
  </si>
  <si>
    <t>tibble_code</t>
  </si>
  <si>
    <t>merged_table</t>
  </si>
  <si>
    <t>dailyactivity_merged_1</t>
  </si>
  <si>
    <t>YES</t>
  </si>
  <si>
    <t>activity_daily</t>
  </si>
  <si>
    <t>dailyactivity_merged_2</t>
  </si>
  <si>
    <t>dailycalories_merged_2</t>
  </si>
  <si>
    <t>NA</t>
  </si>
  <si>
    <t>hourlycalories_merged_1</t>
  </si>
  <si>
    <t>calories_hourly</t>
  </si>
  <si>
    <t>hourlycalories_merged_2</t>
  </si>
  <si>
    <t>minutecaloriesnarrow_merged_1</t>
  </si>
  <si>
    <t>calories_minute</t>
  </si>
  <si>
    <t>minutecaloriesnarrow_merged_2</t>
  </si>
  <si>
    <t>minutecalorieswide_merged_2</t>
  </si>
  <si>
    <t>heartrate_seconds_merged_1</t>
  </si>
  <si>
    <t>heartrate_second</t>
  </si>
  <si>
    <t>heartrate_seconds_merged_2</t>
  </si>
  <si>
    <t>dailyintensities_merged_2</t>
  </si>
  <si>
    <t>hourlyintensities_merged_1</t>
  </si>
  <si>
    <t>intensities_hourly</t>
  </si>
  <si>
    <t>hourlyintensities_merged_2</t>
  </si>
  <si>
    <t>minuteintensitiesnarrow_merged_1</t>
  </si>
  <si>
    <t>intensities_minute</t>
  </si>
  <si>
    <t>minuteintensitiesnarrow_merged_2</t>
  </si>
  <si>
    <t>minuteintensitieswide_merged_2</t>
  </si>
  <si>
    <t>minutemetsnarrow_merged_1</t>
  </si>
  <si>
    <t>mets_minute</t>
  </si>
  <si>
    <t>minutemetsnarrow_merged_2</t>
  </si>
  <si>
    <t>minutesleep_merged_1</t>
  </si>
  <si>
    <t>sleep_minute</t>
  </si>
  <si>
    <t>minutesleep_merged_2</t>
  </si>
  <si>
    <t>sleepday_merged_2</t>
  </si>
  <si>
    <t>dailysteps_merged_2</t>
  </si>
  <si>
    <t>hourlysteps_merged_1</t>
  </si>
  <si>
    <t>steps_hourly</t>
  </si>
  <si>
    <t>hourlysteps_merged_2</t>
  </si>
  <si>
    <t>minutestepsnarrow_merged_1</t>
  </si>
  <si>
    <t>steps_minute</t>
  </si>
  <si>
    <t>minutestepsnarrow_merged_2</t>
  </si>
  <si>
    <t>minutestepswide_merged_2</t>
  </si>
  <si>
    <t>weightloginfo_merged_1</t>
  </si>
  <si>
    <t>weight_NA</t>
  </si>
  <si>
    <t>weightloginfo_merged_2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</si>
</sst>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 readingOrder="1"/>
    </xf>
    <xf numFmtId="0" fontId="0" fillId="0" borderId="1" xfId="0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tabSelected="1" zoomScaleSheetLayoutView="60" workbookViewId="0">
      <pane ySplit="1" topLeftCell="A2" activePane="bottomLeft" state="frozen"/>
      <selection/>
      <selection pane="bottomLeft" activeCell="I7" sqref="I7"/>
    </sheetView>
  </sheetViews>
  <sheetFormatPr defaultColWidth="10" defaultRowHeight="14.4"/>
  <cols>
    <col min="1" max="1" width="31.3333333333333" style="1" customWidth="1"/>
    <col min="2" max="2" width="6.11111111111111" style="1" customWidth="1"/>
    <col min="3" max="3" width="12.5555555555556" style="1" customWidth="1"/>
    <col min="4" max="4" width="9.88888888888889" style="1" customWidth="1"/>
    <col min="5" max="5" width="10.2222222222222" style="1" customWidth="1"/>
    <col min="6" max="6" width="17.4444444444444" style="1" customWidth="1"/>
    <col min="7" max="7" width="17.8888888888889" style="1" customWidth="1"/>
    <col min="8" max="8" width="7.66666666666667" style="1" customWidth="1"/>
    <col min="9" max="9" width="11.4444444444444" style="1" customWidth="1"/>
    <col min="10" max="10" width="17.4444444444444" style="1" customWidth="1"/>
    <col min="11" max="16384" width="10" style="1"/>
  </cols>
  <sheetData>
    <row r="1" spans="1:10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2" t="s">
        <v>10</v>
      </c>
      <c r="B2" s="2" t="str" cm="1">
        <f t="array" ref="B2">CONCATENATE("set_",_wpsfn.REGEXP(A2,"1|2"))</f>
        <v>set_1</v>
      </c>
      <c r="C2" s="2" t="str" cm="1">
        <f t="array" ref="C2">IFERROR(_wpsfn.REGEXP(A2,"(wide|narrow)"),"NA")</f>
        <v>NA</v>
      </c>
      <c r="D2" s="2" t="str" cm="1">
        <f t="array" ref="D2">_wpsfn.REGEXP(A2,"(activity|calories|steps|heartrate|intensities|mets|sleep|weight)")</f>
        <v>activity</v>
      </c>
      <c r="E2" s="2" t="str" cm="1">
        <f t="array" ref="E2">IFERROR(_wpsfn.REGEXP(A2,"(daily|hourly|minute|second)"),"NA")</f>
        <v>daily</v>
      </c>
      <c r="F2" s="2" t="str">
        <f t="shared" ref="F2:F30" si="0">CONCATENATE(D2,"_",(E2))</f>
        <v>activity_daily</v>
      </c>
      <c r="G2" s="4" t="s">
        <v>11</v>
      </c>
      <c r="H2" s="4" t="s">
        <v>11</v>
      </c>
      <c r="I2" s="2">
        <v>1</v>
      </c>
      <c r="J2" s="2" t="s">
        <v>12</v>
      </c>
    </row>
    <row r="3" spans="1:10">
      <c r="A3" s="2" t="s">
        <v>13</v>
      </c>
      <c r="B3" s="2" t="str" cm="1">
        <f t="array" ref="B3">CONCATENATE("set_",_wpsfn.REGEXP(A3,"1|2"))</f>
        <v>set_2</v>
      </c>
      <c r="C3" s="2" t="str" cm="1">
        <f t="array" ref="C3">IFERROR(_wpsfn.REGEXP(A3,"(wide|narrow)"),"NA")</f>
        <v>NA</v>
      </c>
      <c r="D3" s="2" t="str" cm="1">
        <f t="array" ref="D3">_wpsfn.REGEXP(A3,"(activity|calories|steps|heartrate|intensities|mets|sleep|weight)")</f>
        <v>activity</v>
      </c>
      <c r="E3" s="2" t="str" cm="1">
        <f t="array" ref="E3">IFERROR(_wpsfn.REGEXP(A3,"(daily|hourly|minute|second)"),"NA")</f>
        <v>daily</v>
      </c>
      <c r="F3" s="2" t="str">
        <f t="shared" si="0"/>
        <v>activity_daily</v>
      </c>
      <c r="G3" s="4"/>
      <c r="H3" s="4"/>
      <c r="I3" s="2">
        <v>1</v>
      </c>
      <c r="J3" s="2" t="s">
        <v>12</v>
      </c>
    </row>
    <row r="4" spans="1:10">
      <c r="A4" s="2" t="s">
        <v>14</v>
      </c>
      <c r="B4" s="2" t="str" cm="1">
        <f t="array" ref="B4">CONCATENATE("set_",_wpsfn.REGEXP(A4,"1|2"))</f>
        <v>set_2</v>
      </c>
      <c r="C4" s="2" t="str" cm="1">
        <f t="array" ref="C4">IFERROR(_wpsfn.REGEXP(A4,"(wide|narrow)"),"NA")</f>
        <v>NA</v>
      </c>
      <c r="D4" s="2" t="str" cm="1">
        <f t="array" ref="D4">_wpsfn.REGEXP(A4,"(activity|calories|steps|heartrate|intensities|mets|sleep|weight)")</f>
        <v>calories</v>
      </c>
      <c r="E4" s="2" t="str" cm="1">
        <f t="array" ref="E4">IFERROR(_wpsfn.REGEXP(A4,"(daily|hourly|minute|second)"),"NA")</f>
        <v>daily</v>
      </c>
      <c r="F4" s="2" t="str">
        <f t="shared" si="0"/>
        <v>calories_daily</v>
      </c>
      <c r="G4" s="2" t="s">
        <v>15</v>
      </c>
      <c r="H4" s="2" t="s">
        <v>15</v>
      </c>
      <c r="I4" s="2" t="s">
        <v>15</v>
      </c>
      <c r="J4" s="2" t="s">
        <v>15</v>
      </c>
    </row>
    <row r="5" spans="1:10">
      <c r="A5" s="2" t="s">
        <v>16</v>
      </c>
      <c r="B5" s="2" t="str" cm="1">
        <f t="array" ref="B5">CONCATENATE("set_",_wpsfn.REGEXP(A5,"1|2"))</f>
        <v>set_1</v>
      </c>
      <c r="C5" s="2" t="str" cm="1">
        <f t="array" ref="C5">IFERROR(_wpsfn.REGEXP(A5,"(wide|narrow)"),"NA")</f>
        <v>NA</v>
      </c>
      <c r="D5" s="2" t="str">
        <f t="array" ref="D5">_wpsfn.REGEXP(A5,"(activity|calories|steps|heartrate|intensities|mets|sleep|weight)")</f>
        <v>calories</v>
      </c>
      <c r="E5" s="2" t="str">
        <f t="array" ref="E5">IFERROR(_wpsfn.REGEXP(A5,"(daily|hourly|minute|second)"),"NA")</f>
        <v>hourly</v>
      </c>
      <c r="F5" s="2" t="str">
        <f t="shared" si="0"/>
        <v>calories_hourly</v>
      </c>
      <c r="G5" s="4" t="s">
        <v>11</v>
      </c>
      <c r="H5" s="4" t="s">
        <v>11</v>
      </c>
      <c r="I5" s="2">
        <v>2</v>
      </c>
      <c r="J5" s="2" t="s">
        <v>17</v>
      </c>
    </row>
    <row r="6" spans="1:10">
      <c r="A6" s="2" t="s">
        <v>18</v>
      </c>
      <c r="B6" s="2" t="str" cm="1">
        <f t="array" ref="B6">CONCATENATE("set_",_wpsfn.REGEXP(A6,"1|2"))</f>
        <v>set_2</v>
      </c>
      <c r="C6" s="2" t="str" cm="1">
        <f t="array" ref="C6">IFERROR(_wpsfn.REGEXP(A6,"(wide|narrow)"),"NA")</f>
        <v>NA</v>
      </c>
      <c r="D6" s="2" t="str">
        <f t="array" ref="D6">_wpsfn.REGEXP(A6,"(activity|calories|steps|heartrate|intensities|mets|sleep|weight)")</f>
        <v>calories</v>
      </c>
      <c r="E6" s="2" t="str">
        <f t="array" ref="E6">IFERROR(_wpsfn.REGEXP(A6,"(daily|hourly|minute|second)"),"NA")</f>
        <v>hourly</v>
      </c>
      <c r="F6" s="2" t="str">
        <f t="shared" si="0"/>
        <v>calories_hourly</v>
      </c>
      <c r="G6" s="4"/>
      <c r="H6" s="4"/>
      <c r="I6" s="2">
        <v>2</v>
      </c>
      <c r="J6" s="2" t="s">
        <v>17</v>
      </c>
    </row>
    <row r="7" spans="1:10">
      <c r="A7" s="2" t="s">
        <v>19</v>
      </c>
      <c r="B7" s="2" t="str" cm="1">
        <f t="array" ref="B7">CONCATENATE("set_",_wpsfn.REGEXP(A7,"1|2"))</f>
        <v>set_1</v>
      </c>
      <c r="C7" s="2" t="str" cm="1">
        <f t="array" ref="C7">IFERROR(_wpsfn.REGEXP(A7,"(wide|narrow)"),"NA")</f>
        <v>narrow</v>
      </c>
      <c r="D7" s="2" t="str">
        <f t="array" ref="D7">_wpsfn.REGEXP(A7,"(activity|calories|steps|heartrate|intensities|mets|sleep|weight)")</f>
        <v>calories</v>
      </c>
      <c r="E7" s="2" t="str">
        <f t="array" ref="E7">IFERROR(_wpsfn.REGEXP(A7,"(daily|hourly|minute|second)"),"NA")</f>
        <v>minute</v>
      </c>
      <c r="F7" s="2" t="str">
        <f t="shared" si="0"/>
        <v>calories_minute</v>
      </c>
      <c r="G7" s="4" t="s">
        <v>11</v>
      </c>
      <c r="H7" s="4" t="s">
        <v>11</v>
      </c>
      <c r="I7" s="2">
        <v>3</v>
      </c>
      <c r="J7" s="2" t="s">
        <v>20</v>
      </c>
    </row>
    <row r="8" spans="1:10">
      <c r="A8" s="2" t="s">
        <v>21</v>
      </c>
      <c r="B8" s="2" t="str" cm="1">
        <f t="array" ref="B8">CONCATENATE("set_",_wpsfn.REGEXP(A8,"1|2"))</f>
        <v>set_2</v>
      </c>
      <c r="C8" s="2" t="str" cm="1">
        <f t="array" ref="C8">IFERROR(_wpsfn.REGEXP(A8,"(wide|narrow)"),"NA")</f>
        <v>narrow</v>
      </c>
      <c r="D8" s="2" t="str">
        <f t="array" ref="D8">_wpsfn.REGEXP(A8,"(activity|calories|steps|heartrate|intensities|mets|sleep|weight)")</f>
        <v>calories</v>
      </c>
      <c r="E8" s="2" t="str">
        <f t="array" ref="E8">IFERROR(_wpsfn.REGEXP(A8,"(daily|hourly|minute|second)"),"NA")</f>
        <v>minute</v>
      </c>
      <c r="F8" s="2" t="str">
        <f t="shared" si="0"/>
        <v>calories_minute</v>
      </c>
      <c r="G8" s="4"/>
      <c r="H8" s="4"/>
      <c r="I8" s="2">
        <v>3</v>
      </c>
      <c r="J8" s="2" t="s">
        <v>20</v>
      </c>
    </row>
    <row r="9" spans="1:10">
      <c r="A9" s="2" t="s">
        <v>22</v>
      </c>
      <c r="B9" s="2" t="str" cm="1">
        <f t="array" ref="B9">CONCATENATE("set_",_wpsfn.REGEXP(A9,"1|2"))</f>
        <v>set_2</v>
      </c>
      <c r="C9" s="2" t="str" cm="1">
        <f t="array" ref="C9">IFERROR(_wpsfn.REGEXP(A9,"(wide|narrow)"),"NA")</f>
        <v>wide</v>
      </c>
      <c r="D9" s="2" t="str">
        <f t="array" ref="D9">_wpsfn.REGEXP(A9,"(activity|calories|steps|heartrate|intensities|mets|sleep|weight)")</f>
        <v>calories</v>
      </c>
      <c r="E9" s="2" t="str">
        <f t="array" ref="E9">IFERROR(_wpsfn.REGEXP(A9,"(daily|hourly|minute|second)"),"NA")</f>
        <v>minute</v>
      </c>
      <c r="F9" s="2" t="str">
        <f t="shared" si="0"/>
        <v>calories_minute</v>
      </c>
      <c r="G9" s="2" t="s">
        <v>15</v>
      </c>
      <c r="H9" s="2" t="s">
        <v>15</v>
      </c>
      <c r="I9" s="2" t="s">
        <v>15</v>
      </c>
      <c r="J9" s="2" t="s">
        <v>15</v>
      </c>
    </row>
    <row r="10" spans="1:10">
      <c r="A10" s="2" t="s">
        <v>23</v>
      </c>
      <c r="B10" s="2" t="str" cm="1">
        <f t="array" ref="B10">CONCATENATE("set_",_wpsfn.REGEXP(A10,"1|2"))</f>
        <v>set_1</v>
      </c>
      <c r="C10" s="2" t="str" cm="1">
        <f t="array" ref="C10">IFERROR(_wpsfn.REGEXP(A10,"(wide|narrow)"),"NA")</f>
        <v>NA</v>
      </c>
      <c r="D10" s="2" t="str">
        <f t="array" ref="D10">_wpsfn.REGEXP(A10,"(activity|calories|steps|heartrate|intensities|mets|sleep|weight)")</f>
        <v>heartrate</v>
      </c>
      <c r="E10" s="2" t="str">
        <f t="array" ref="E10">IFERROR(_wpsfn.REGEXP(A10,"(daily|hourly|minute|second)"),"NA")</f>
        <v>second</v>
      </c>
      <c r="F10" s="2" t="str">
        <f t="shared" si="0"/>
        <v>heartrate_second</v>
      </c>
      <c r="G10" s="4" t="s">
        <v>11</v>
      </c>
      <c r="H10" s="4" t="s">
        <v>11</v>
      </c>
      <c r="I10" s="2">
        <v>4</v>
      </c>
      <c r="J10" s="2" t="s">
        <v>24</v>
      </c>
    </row>
    <row r="11" spans="1:10">
      <c r="A11" s="2" t="s">
        <v>25</v>
      </c>
      <c r="B11" s="2" t="str" cm="1">
        <f t="array" ref="B11">CONCATENATE("set_",_wpsfn.REGEXP(A11,"1|2"))</f>
        <v>set_2</v>
      </c>
      <c r="C11" s="2" t="str" cm="1">
        <f t="array" ref="C11">IFERROR(_wpsfn.REGEXP(A11,"(wide|narrow)"),"NA")</f>
        <v>NA</v>
      </c>
      <c r="D11" s="2" t="str">
        <f t="array" ref="D11">_wpsfn.REGEXP(A11,"(activity|calories|steps|heartrate|intensities|mets|sleep|weight)")</f>
        <v>heartrate</v>
      </c>
      <c r="E11" s="2" t="str">
        <f t="array" ref="E11">IFERROR(_wpsfn.REGEXP(A11,"(daily|hourly|minute|second)"),"NA")</f>
        <v>second</v>
      </c>
      <c r="F11" s="2" t="str">
        <f t="shared" si="0"/>
        <v>heartrate_second</v>
      </c>
      <c r="G11" s="4"/>
      <c r="H11" s="4"/>
      <c r="I11" s="2">
        <v>4</v>
      </c>
      <c r="J11" s="2" t="s">
        <v>24</v>
      </c>
    </row>
    <row r="12" spans="1:10">
      <c r="A12" s="2" t="s">
        <v>26</v>
      </c>
      <c r="B12" s="2" t="str" cm="1">
        <f t="array" ref="B12">CONCATENATE("set_",_wpsfn.REGEXP(A12,"1|2"))</f>
        <v>set_2</v>
      </c>
      <c r="C12" s="2" t="str" cm="1">
        <f t="array" ref="C12">IFERROR(_wpsfn.REGEXP(A12,"(wide|narrow)"),"NA")</f>
        <v>NA</v>
      </c>
      <c r="D12" s="2" t="str">
        <f t="array" ref="D12">_wpsfn.REGEXP(A12,"(activity|calories|steps|heartrate|intensities|mets|sleep|weight)")</f>
        <v>intensities</v>
      </c>
      <c r="E12" s="2" t="str">
        <f t="array" ref="E12">IFERROR(_wpsfn.REGEXP(A12,"(daily|hourly|minute|second)"),"NA")</f>
        <v>daily</v>
      </c>
      <c r="F12" s="2" t="str">
        <f t="shared" si="0"/>
        <v>intensities_daily</v>
      </c>
      <c r="G12" s="2" t="s">
        <v>15</v>
      </c>
      <c r="H12" s="2" t="s">
        <v>15</v>
      </c>
      <c r="I12" s="2" t="s">
        <v>15</v>
      </c>
      <c r="J12" s="2" t="s">
        <v>15</v>
      </c>
    </row>
    <row r="13" spans="1:10">
      <c r="A13" s="2" t="s">
        <v>27</v>
      </c>
      <c r="B13" s="2" t="str" cm="1">
        <f t="array" ref="B13">CONCATENATE("set_",_wpsfn.REGEXP(A13,"1|2"))</f>
        <v>set_1</v>
      </c>
      <c r="C13" s="2" t="str" cm="1">
        <f t="array" ref="C13">IFERROR(_wpsfn.REGEXP(A13,"(wide|narrow)"),"NA")</f>
        <v>NA</v>
      </c>
      <c r="D13" s="2" t="str">
        <f t="array" ref="D13">_wpsfn.REGEXP(A13,"(activity|calories|steps|heartrate|intensities|mets|sleep|weight)")</f>
        <v>intensities</v>
      </c>
      <c r="E13" s="2" t="str">
        <f t="array" ref="E13">IFERROR(_wpsfn.REGEXP(A13,"(daily|hourly|minute|second)"),"NA")</f>
        <v>hourly</v>
      </c>
      <c r="F13" s="2" t="str">
        <f t="shared" si="0"/>
        <v>intensities_hourly</v>
      </c>
      <c r="G13" s="4" t="s">
        <v>11</v>
      </c>
      <c r="H13" s="4" t="s">
        <v>11</v>
      </c>
      <c r="I13" s="2">
        <v>5</v>
      </c>
      <c r="J13" s="2" t="s">
        <v>28</v>
      </c>
    </row>
    <row r="14" spans="1:10">
      <c r="A14" s="2" t="s">
        <v>29</v>
      </c>
      <c r="B14" s="2" t="str" cm="1">
        <f t="array" ref="B14">CONCATENATE("set_",_wpsfn.REGEXP(A14,"1|2"))</f>
        <v>set_2</v>
      </c>
      <c r="C14" s="2" t="str" cm="1">
        <f t="array" ref="C14">IFERROR(_wpsfn.REGEXP(A14,"(wide|narrow)"),"NA")</f>
        <v>NA</v>
      </c>
      <c r="D14" s="2" t="str">
        <f t="array" ref="D14">_wpsfn.REGEXP(A14,"(activity|calories|steps|heartrate|intensities|mets|sleep|weight)")</f>
        <v>intensities</v>
      </c>
      <c r="E14" s="2" t="str">
        <f t="array" ref="E14">IFERROR(_wpsfn.REGEXP(A14,"(daily|hourly|minute|second)"),"NA")</f>
        <v>hourly</v>
      </c>
      <c r="F14" s="2" t="str">
        <f t="shared" si="0"/>
        <v>intensities_hourly</v>
      </c>
      <c r="G14" s="4"/>
      <c r="H14" s="4"/>
      <c r="I14" s="2">
        <v>5</v>
      </c>
      <c r="J14" s="2" t="s">
        <v>28</v>
      </c>
    </row>
    <row r="15" spans="1:10">
      <c r="A15" s="2" t="s">
        <v>30</v>
      </c>
      <c r="B15" s="2" t="str" cm="1">
        <f t="array" ref="B15">CONCATENATE("set_",_wpsfn.REGEXP(A15,"1|2"))</f>
        <v>set_1</v>
      </c>
      <c r="C15" s="2" t="str" cm="1">
        <f t="array" ref="C15">IFERROR(_wpsfn.REGEXP(A15,"(wide|narrow)"),"NA")</f>
        <v>narrow</v>
      </c>
      <c r="D15" s="2" t="str">
        <f t="array" ref="D15">_wpsfn.REGEXP(A15,"(activity|calories|steps|heartrate|intensities|mets|sleep|weight)")</f>
        <v>intensities</v>
      </c>
      <c r="E15" s="2" t="str">
        <f t="array" ref="E15">IFERROR(_wpsfn.REGEXP(A15,"(daily|hourly|minute|second)"),"NA")</f>
        <v>minute</v>
      </c>
      <c r="F15" s="2" t="str">
        <f t="shared" si="0"/>
        <v>intensities_minute</v>
      </c>
      <c r="G15" s="4" t="s">
        <v>11</v>
      </c>
      <c r="H15" s="4" t="s">
        <v>11</v>
      </c>
      <c r="I15" s="2">
        <v>6</v>
      </c>
      <c r="J15" s="2" t="s">
        <v>31</v>
      </c>
    </row>
    <row r="16" spans="1:10">
      <c r="A16" s="2" t="s">
        <v>32</v>
      </c>
      <c r="B16" s="2" t="str" cm="1">
        <f t="array" ref="B16">CONCATENATE("set_",_wpsfn.REGEXP(A16,"1|2"))</f>
        <v>set_2</v>
      </c>
      <c r="C16" s="2" t="str" cm="1">
        <f t="array" ref="C16">IFERROR(_wpsfn.REGEXP(A16,"(wide|narrow)"),"NA")</f>
        <v>narrow</v>
      </c>
      <c r="D16" s="2" t="str">
        <f t="array" ref="D16">_wpsfn.REGEXP(A16,"(activity|calories|steps|heartrate|intensities|mets|sleep|weight)")</f>
        <v>intensities</v>
      </c>
      <c r="E16" s="2" t="str">
        <f t="array" ref="E16">IFERROR(_wpsfn.REGEXP(A16,"(daily|hourly|minute|second)"),"NA")</f>
        <v>minute</v>
      </c>
      <c r="F16" s="2" t="str">
        <f t="shared" si="0"/>
        <v>intensities_minute</v>
      </c>
      <c r="G16" s="4"/>
      <c r="H16" s="4"/>
      <c r="I16" s="2">
        <v>6</v>
      </c>
      <c r="J16" s="2" t="s">
        <v>31</v>
      </c>
    </row>
    <row r="17" spans="1:10">
      <c r="A17" s="2" t="s">
        <v>33</v>
      </c>
      <c r="B17" s="2" t="str" cm="1">
        <f t="array" ref="B17">CONCATENATE("set_",_wpsfn.REGEXP(A17,"1|2"))</f>
        <v>set_2</v>
      </c>
      <c r="C17" s="2" t="str" cm="1">
        <f t="array" ref="C17">IFERROR(_wpsfn.REGEXP(A17,"(wide|narrow)"),"NA")</f>
        <v>wide</v>
      </c>
      <c r="D17" s="2" t="str">
        <f t="array" ref="D17">_wpsfn.REGEXP(A17,"(activity|calories|steps|heartrate|intensities|mets|sleep|weight)")</f>
        <v>intensities</v>
      </c>
      <c r="E17" s="2" t="str">
        <f t="array" ref="E17">IFERROR(_wpsfn.REGEXP(A17,"(daily|hourly|minute|second)"),"NA")</f>
        <v>minute</v>
      </c>
      <c r="F17" s="2" t="str">
        <f t="shared" si="0"/>
        <v>intensities_minute</v>
      </c>
      <c r="G17" s="2"/>
      <c r="H17" s="2"/>
      <c r="I17" s="2" t="s">
        <v>15</v>
      </c>
      <c r="J17" s="2" t="s">
        <v>15</v>
      </c>
    </row>
    <row r="18" spans="1:10">
      <c r="A18" s="2" t="s">
        <v>34</v>
      </c>
      <c r="B18" s="2" t="str" cm="1">
        <f t="array" ref="B18">CONCATENATE("set_",_wpsfn.REGEXP(A18,"1|2"))</f>
        <v>set_1</v>
      </c>
      <c r="C18" s="2" t="str" cm="1">
        <f t="array" ref="C18">IFERROR(_wpsfn.REGEXP(A18,"(wide|narrow)"),"NA")</f>
        <v>narrow</v>
      </c>
      <c r="D18" s="2" t="str">
        <f t="array" ref="D18">_wpsfn.REGEXP(A18,"(activity|calories|steps|heartrate|intensities|mets|sleep|weight)")</f>
        <v>mets</v>
      </c>
      <c r="E18" s="2" t="str">
        <f t="array" ref="E18">IFERROR(_wpsfn.REGEXP(A18,"(daily|hourly|minute|second)"),"NA")</f>
        <v>minute</v>
      </c>
      <c r="F18" s="2" t="str">
        <f t="shared" si="0"/>
        <v>mets_minute</v>
      </c>
      <c r="G18" s="4" t="s">
        <v>11</v>
      </c>
      <c r="H18" s="4" t="s">
        <v>11</v>
      </c>
      <c r="I18" s="2">
        <v>7</v>
      </c>
      <c r="J18" s="2" t="s">
        <v>35</v>
      </c>
    </row>
    <row r="19" spans="1:10">
      <c r="A19" s="2" t="s">
        <v>36</v>
      </c>
      <c r="B19" s="2" t="str" cm="1">
        <f t="array" ref="B19">CONCATENATE("set_",_wpsfn.REGEXP(A19,"1|2"))</f>
        <v>set_2</v>
      </c>
      <c r="C19" s="2" t="str" cm="1">
        <f t="array" ref="C19">IFERROR(_wpsfn.REGEXP(A19,"(wide|narrow)"),"NA")</f>
        <v>narrow</v>
      </c>
      <c r="D19" s="2" t="str">
        <f t="array" ref="D19">_wpsfn.REGEXP(A19,"(activity|calories|steps|heartrate|intensities|mets|sleep|weight)")</f>
        <v>mets</v>
      </c>
      <c r="E19" s="2" t="str">
        <f t="array" ref="E19">IFERROR(_wpsfn.REGEXP(A19,"(daily|hourly|minute|second)"),"NA")</f>
        <v>minute</v>
      </c>
      <c r="F19" s="2" t="str">
        <f t="shared" si="0"/>
        <v>mets_minute</v>
      </c>
      <c r="G19" s="4"/>
      <c r="H19" s="4"/>
      <c r="I19" s="2">
        <v>7</v>
      </c>
      <c r="J19" s="2" t="s">
        <v>35</v>
      </c>
    </row>
    <row r="20" spans="1:10">
      <c r="A20" s="2" t="s">
        <v>37</v>
      </c>
      <c r="B20" s="2" t="str" cm="1">
        <f t="array" ref="B20">CONCATENATE("set_",_wpsfn.REGEXP(A20,"1|2"))</f>
        <v>set_1</v>
      </c>
      <c r="C20" s="2" t="str" cm="1">
        <f t="array" ref="C20">IFERROR(_wpsfn.REGEXP(A20,"(wide|narrow)"),"NA")</f>
        <v>NA</v>
      </c>
      <c r="D20" s="2" t="str">
        <f t="array" ref="D20">_wpsfn.REGEXP(A20,"(activity|calories|steps|heartrate|intensities|mets|sleep|weight)")</f>
        <v>sleep</v>
      </c>
      <c r="E20" s="2" t="str">
        <f t="array" ref="E20">IFERROR(_wpsfn.REGEXP(A20,"(daily|hourly|minute|second)"),"NA")</f>
        <v>minute</v>
      </c>
      <c r="F20" s="2" t="str">
        <f t="shared" si="0"/>
        <v>sleep_minute</v>
      </c>
      <c r="G20" s="4" t="s">
        <v>11</v>
      </c>
      <c r="H20" s="4" t="s">
        <v>11</v>
      </c>
      <c r="I20" s="2">
        <v>8</v>
      </c>
      <c r="J20" s="2" t="s">
        <v>38</v>
      </c>
    </row>
    <row r="21" spans="1:10">
      <c r="A21" s="2" t="s">
        <v>39</v>
      </c>
      <c r="B21" s="2" t="str" cm="1">
        <f t="array" ref="B21">CONCATENATE("set_",_wpsfn.REGEXP(A21,"1|2"))</f>
        <v>set_2</v>
      </c>
      <c r="C21" s="2" t="str" cm="1">
        <f t="array" ref="C21">IFERROR(_wpsfn.REGEXP(A21,"(wide|narrow)"),"NA")</f>
        <v>NA</v>
      </c>
      <c r="D21" s="2" t="str">
        <f t="array" ref="D21">_wpsfn.REGEXP(A21,"(activity|calories|steps|heartrate|intensities|mets|sleep|weight)")</f>
        <v>sleep</v>
      </c>
      <c r="E21" s="2" t="str">
        <f t="array" ref="E21">IFERROR(_wpsfn.REGEXP(A21,"(daily|hourly|minute|second)"),"NA")</f>
        <v>minute</v>
      </c>
      <c r="F21" s="2" t="str">
        <f t="shared" si="0"/>
        <v>sleep_minute</v>
      </c>
      <c r="G21" s="4"/>
      <c r="H21" s="4"/>
      <c r="I21" s="2">
        <v>8</v>
      </c>
      <c r="J21" s="2" t="s">
        <v>38</v>
      </c>
    </row>
    <row r="22" spans="1:10">
      <c r="A22" s="2" t="s">
        <v>40</v>
      </c>
      <c r="B22" s="2" t="str" cm="1">
        <f t="array" ref="B22">CONCATENATE("set_",_wpsfn.REGEXP(A22,"1|2"))</f>
        <v>set_2</v>
      </c>
      <c r="C22" s="2" t="str" cm="1">
        <f t="array" ref="C22">IFERROR(_wpsfn.REGEXP(A22,"(wide|narrow)"),"NA")</f>
        <v>NA</v>
      </c>
      <c r="D22" s="2" t="str">
        <f t="array" ref="D22">_wpsfn.REGEXP(A22,"(activity|calories|steps|heartrate|intensities|mets|sleep|weight)")</f>
        <v>sleep</v>
      </c>
      <c r="E22" s="2" t="str">
        <f t="array" ref="E22">IFERROR(_wpsfn.REGEXP(A22,"(daily|hourly|minute|second)"),"NA")</f>
        <v>NA</v>
      </c>
      <c r="F22" s="2" t="str">
        <f t="shared" si="0"/>
        <v>sleep_NA</v>
      </c>
      <c r="G22" s="2" t="s">
        <v>15</v>
      </c>
      <c r="H22" s="2" t="s">
        <v>15</v>
      </c>
      <c r="I22" s="2" t="s">
        <v>15</v>
      </c>
      <c r="J22" s="2" t="s">
        <v>15</v>
      </c>
    </row>
    <row r="23" spans="1:10">
      <c r="A23" s="2" t="s">
        <v>41</v>
      </c>
      <c r="B23" s="2" t="str" cm="1">
        <f t="array" ref="B23">CONCATENATE("set_",_wpsfn.REGEXP(A23,"1|2"))</f>
        <v>set_2</v>
      </c>
      <c r="C23" s="2" t="str" cm="1">
        <f t="array" ref="C23">IFERROR(_wpsfn.REGEXP(A23,"(wide|narrow)"),"NA")</f>
        <v>NA</v>
      </c>
      <c r="D23" s="2" t="str">
        <f t="array" ref="D23">_wpsfn.REGEXP(A23,"(activity|calories|steps|heartrate|intensities|mets|sleep|weight)")</f>
        <v>steps</v>
      </c>
      <c r="E23" s="2" t="str">
        <f t="array" ref="E23">IFERROR(_wpsfn.REGEXP(A23,"(daily|hourly|minute|second)"),"NA")</f>
        <v>daily</v>
      </c>
      <c r="F23" s="2" t="str">
        <f t="shared" si="0"/>
        <v>steps_daily</v>
      </c>
      <c r="G23" s="2" t="s">
        <v>15</v>
      </c>
      <c r="H23" s="2" t="s">
        <v>15</v>
      </c>
      <c r="I23" s="2" t="s">
        <v>15</v>
      </c>
      <c r="J23" s="2" t="s">
        <v>15</v>
      </c>
    </row>
    <row r="24" spans="1:10">
      <c r="A24" s="2" t="s">
        <v>42</v>
      </c>
      <c r="B24" s="2" t="str" cm="1">
        <f t="array" ref="B24">CONCATENATE("set_",_wpsfn.REGEXP(A24,"1|2"))</f>
        <v>set_1</v>
      </c>
      <c r="C24" s="2" t="str" cm="1">
        <f t="array" ref="C24">IFERROR(_wpsfn.REGEXP(A24,"(wide|narrow)"),"NA")</f>
        <v>NA</v>
      </c>
      <c r="D24" s="2" t="str">
        <f t="array" ref="D24">_wpsfn.REGEXP(A24,"(activity|calories|steps|heartrate|intensities|mets|sleep|weight)")</f>
        <v>steps</v>
      </c>
      <c r="E24" s="2" t="str">
        <f t="array" ref="E24">IFERROR(_wpsfn.REGEXP(A24,"(daily|hourly|minute|second)"),"NA")</f>
        <v>hourly</v>
      </c>
      <c r="F24" s="2" t="str">
        <f t="shared" si="0"/>
        <v>steps_hourly</v>
      </c>
      <c r="G24" s="4" t="s">
        <v>11</v>
      </c>
      <c r="H24" s="4" t="s">
        <v>11</v>
      </c>
      <c r="I24" s="2">
        <v>9</v>
      </c>
      <c r="J24" s="2" t="s">
        <v>43</v>
      </c>
    </row>
    <row r="25" spans="1:10">
      <c r="A25" s="2" t="s">
        <v>44</v>
      </c>
      <c r="B25" s="2" t="str" cm="1">
        <f t="array" ref="B25">CONCATENATE("set_",_wpsfn.REGEXP(A25,"1|2"))</f>
        <v>set_2</v>
      </c>
      <c r="C25" s="2" t="str" cm="1">
        <f t="array" ref="C25">IFERROR(_wpsfn.REGEXP(A25,"(wide|narrow)"),"NA")</f>
        <v>NA</v>
      </c>
      <c r="D25" s="2" t="str">
        <f t="array" ref="D25">_wpsfn.REGEXP(A25,"(activity|calories|steps|heartrate|intensities|mets|sleep|weight)")</f>
        <v>steps</v>
      </c>
      <c r="E25" s="2" t="str">
        <f t="array" ref="E25">IFERROR(_wpsfn.REGEXP(A25,"(daily|hourly|minute|second)"),"NA")</f>
        <v>hourly</v>
      </c>
      <c r="F25" s="2" t="str">
        <f t="shared" si="0"/>
        <v>steps_hourly</v>
      </c>
      <c r="G25" s="4"/>
      <c r="H25" s="4"/>
      <c r="I25" s="2">
        <v>9</v>
      </c>
      <c r="J25" s="2" t="s">
        <v>43</v>
      </c>
    </row>
    <row r="26" spans="1:10">
      <c r="A26" s="2" t="s">
        <v>45</v>
      </c>
      <c r="B26" s="2" t="str" cm="1">
        <f t="array" ref="B26">CONCATENATE("set_",_wpsfn.REGEXP(A26,"1|2"))</f>
        <v>set_1</v>
      </c>
      <c r="C26" s="2" t="str" cm="1">
        <f t="array" ref="C26">IFERROR(_wpsfn.REGEXP(A26,"(wide|narrow)"),"NA")</f>
        <v>narrow</v>
      </c>
      <c r="D26" s="2" t="str">
        <f t="array" ref="D26">_wpsfn.REGEXP(A26,"(activity|calories|steps|heartrate|intensities|mets|sleep|weight)")</f>
        <v>steps</v>
      </c>
      <c r="E26" s="2" t="str">
        <f t="array" ref="E26">IFERROR(_wpsfn.REGEXP(A26,"(daily|hourly|minute|second)"),"NA")</f>
        <v>minute</v>
      </c>
      <c r="F26" s="2" t="str">
        <f t="shared" si="0"/>
        <v>steps_minute</v>
      </c>
      <c r="G26" s="4" t="s">
        <v>11</v>
      </c>
      <c r="H26" s="4" t="s">
        <v>11</v>
      </c>
      <c r="I26" s="2">
        <v>10</v>
      </c>
      <c r="J26" s="2" t="s">
        <v>46</v>
      </c>
    </row>
    <row r="27" spans="1:10">
      <c r="A27" s="2" t="s">
        <v>47</v>
      </c>
      <c r="B27" s="2" t="str" cm="1">
        <f t="array" ref="B27">CONCATENATE("set_",_wpsfn.REGEXP(A27,"1|2"))</f>
        <v>set_2</v>
      </c>
      <c r="C27" s="2" t="str" cm="1">
        <f t="array" ref="C27">IFERROR(_wpsfn.REGEXP(A27,"(wide|narrow)"),"NA")</f>
        <v>narrow</v>
      </c>
      <c r="D27" s="2" t="str">
        <f t="array" ref="D27">_wpsfn.REGEXP(A27,"(activity|calories|steps|heartrate|intensities|mets|sleep|weight)")</f>
        <v>steps</v>
      </c>
      <c r="E27" s="2" t="str">
        <f t="array" ref="E27">IFERROR(_wpsfn.REGEXP(A27,"(daily|hourly|minute|second)"),"NA")</f>
        <v>minute</v>
      </c>
      <c r="F27" s="2" t="str">
        <f t="shared" si="0"/>
        <v>steps_minute</v>
      </c>
      <c r="G27" s="4"/>
      <c r="H27" s="4"/>
      <c r="I27" s="2">
        <v>10</v>
      </c>
      <c r="J27" s="2" t="s">
        <v>46</v>
      </c>
    </row>
    <row r="28" spans="1:10">
      <c r="A28" s="2" t="s">
        <v>48</v>
      </c>
      <c r="B28" s="2" t="str" cm="1">
        <f t="array" ref="B28">CONCATENATE("set_",_wpsfn.REGEXP(A28,"1|2"))</f>
        <v>set_2</v>
      </c>
      <c r="C28" s="2" t="str" cm="1">
        <f t="array" ref="C28">IFERROR(_wpsfn.REGEXP(A28,"(wide|narrow)"),"NA")</f>
        <v>wide</v>
      </c>
      <c r="D28" s="2" t="str">
        <f t="array" ref="D28">_wpsfn.REGEXP(A28,"(activity|calories|steps|heartrate|intensities|mets|sleep|weight)")</f>
        <v>steps</v>
      </c>
      <c r="E28" s="2" t="str">
        <f t="array" ref="E28">IFERROR(_wpsfn.REGEXP(A28,"(daily|hourly|minute|second)"),"NA")</f>
        <v>minute</v>
      </c>
      <c r="F28" s="2" t="str">
        <f t="shared" si="0"/>
        <v>steps_minute</v>
      </c>
      <c r="G28" s="2" t="s">
        <v>15</v>
      </c>
      <c r="H28" s="2" t="s">
        <v>15</v>
      </c>
      <c r="I28" s="2" t="s">
        <v>15</v>
      </c>
      <c r="J28" s="2" t="s">
        <v>15</v>
      </c>
    </row>
    <row r="29" spans="1:10">
      <c r="A29" s="2" t="s">
        <v>49</v>
      </c>
      <c r="B29" s="2" t="str" cm="1">
        <f t="array" ref="B29">CONCATENATE("set_",_wpsfn.REGEXP(A29,"1|2"))</f>
        <v>set_1</v>
      </c>
      <c r="C29" s="2" t="str" cm="1">
        <f t="array" ref="C29">IFERROR(_wpsfn.REGEXP(A29,"(wide|narrow)"),"NA")</f>
        <v>NA</v>
      </c>
      <c r="D29" s="2" t="str" cm="1">
        <f t="array" ref="D29">_wpsfn.REGEXP(A29,"(activity|calories|steps|heartrate|intensities|mets|sleep|weight)")</f>
        <v>weight</v>
      </c>
      <c r="E29" s="2" t="str" cm="1">
        <f t="array" ref="E29">IFERROR(_wpsfn.REGEXP(A29,"(daily|hourly|minute|second)"),"NA")</f>
        <v>NA</v>
      </c>
      <c r="F29" s="2" t="str">
        <f t="shared" si="0"/>
        <v>weight_NA</v>
      </c>
      <c r="G29" s="4" t="s">
        <v>11</v>
      </c>
      <c r="H29" s="4" t="s">
        <v>11</v>
      </c>
      <c r="I29" s="2">
        <v>11</v>
      </c>
      <c r="J29" s="2" t="s">
        <v>50</v>
      </c>
    </row>
    <row r="30" spans="1:10">
      <c r="A30" s="2" t="s">
        <v>51</v>
      </c>
      <c r="B30" s="2" t="str" cm="1">
        <f t="array" ref="B30">CONCATENATE("set_",_wpsfn.REGEXP(A30,"1|2"))</f>
        <v>set_2</v>
      </c>
      <c r="C30" s="2" t="str" cm="1">
        <f t="array" ref="C30">IFERROR(_wpsfn.REGEXP(A30,"(wide|narrow)"),"NA")</f>
        <v>NA</v>
      </c>
      <c r="D30" s="2" t="str" cm="1">
        <f t="array" ref="D30">_wpsfn.REGEXP(A30,"(activity|calories|steps|heartrate|intensities|mets|sleep|weight)")</f>
        <v>weight</v>
      </c>
      <c r="E30" s="2" t="str" cm="1">
        <f t="array" ref="E30">IFERROR(_wpsfn.REGEXP(A30,"(daily|hourly|minute|second)"),"NA")</f>
        <v>NA</v>
      </c>
      <c r="F30" s="2" t="str">
        <f t="shared" si="0"/>
        <v>weight_NA</v>
      </c>
      <c r="G30" s="4"/>
      <c r="H30" s="4"/>
      <c r="I30" s="2">
        <v>11</v>
      </c>
      <c r="J30" s="2" t="s">
        <v>50</v>
      </c>
    </row>
  </sheetData>
  <autoFilter xmlns:etc="http://www.wps.cn/officeDocument/2017/etCustomData" ref="A1:G30" etc:filterBottomFollowUsedRange="0">
    <sortState ref="A1:G30">
      <sortCondition ref="F1"/>
    </sortState>
    <extLst/>
  </autoFilter>
  <mergeCells count="22">
    <mergeCell ref="G2:G3"/>
    <mergeCell ref="G5:G6"/>
    <mergeCell ref="G7:G8"/>
    <mergeCell ref="G10:G11"/>
    <mergeCell ref="G13:G14"/>
    <mergeCell ref="G15:G16"/>
    <mergeCell ref="G18:G19"/>
    <mergeCell ref="G20:G21"/>
    <mergeCell ref="G24:G25"/>
    <mergeCell ref="G26:G27"/>
    <mergeCell ref="G29:G30"/>
    <mergeCell ref="H2:H3"/>
    <mergeCell ref="H5:H6"/>
    <mergeCell ref="H7:H8"/>
    <mergeCell ref="H10:H11"/>
    <mergeCell ref="H13:H14"/>
    <mergeCell ref="H15:H16"/>
    <mergeCell ref="H18:H19"/>
    <mergeCell ref="H20:H21"/>
    <mergeCell ref="H24:H25"/>
    <mergeCell ref="H26:H27"/>
    <mergeCell ref="H29:H30"/>
  </mergeCells>
  <conditionalFormatting sqref="G1:H3 G5:H8 G10:H11 G13:H21 G24:H27 G29:H1048576">
    <cfRule type="containsText" dxfId="0" priority="1" operator="between" text="YES">
      <formula>NOT(ISERROR(SEARCH("YES",G1)))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29_table_names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2025-04-23T20:16:00Z</dcterms:created>
  <dcterms:modified xsi:type="dcterms:W3CDTF">2025-04-24T23:21:34Z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088C622814244A2DBB617E18C870EFCB_13</vt:lpwstr>
  </property>
  <property fmtid="{D5CDD505-2E9C-101B-9397-08002B2CF9AE}" pid="3" name="KSOProductBuildVer">
    <vt:lpwstr>1033-12.2.0.20795</vt:lpwstr>
  </property>
</Properties>
</file>